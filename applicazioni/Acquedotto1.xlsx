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filterPrivacy="1" defaultThemeVersion="124226"/>
  <xr:revisionPtr revIDLastSave="0" documentId="13_ncr:1_{1FCBE824-6233-47BF-9400-0BFB010AAE4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olletta Acqua" sheetId="1" r:id="rId1"/>
  </sheets>
  <calcPr calcId="191029"/>
</workbook>
</file>

<file path=xl/calcChain.xml><?xml version="1.0" encoding="utf-8"?>
<calcChain xmlns="http://schemas.openxmlformats.org/spreadsheetml/2006/main">
  <c r="E7" i="1" l="1"/>
  <c r="E6" i="1"/>
  <c r="E5" i="1"/>
  <c r="E8" i="1" l="1"/>
  <c r="E13" i="1" s="1"/>
  <c r="E3" i="1"/>
  <c r="J24" i="1"/>
  <c r="H24" i="1"/>
  <c r="F24" i="1"/>
  <c r="J18" i="1"/>
  <c r="H18" i="1"/>
  <c r="F18" i="1"/>
  <c r="J17" i="1"/>
  <c r="J16" i="1"/>
  <c r="J15" i="1"/>
  <c r="H17" i="1"/>
  <c r="H16" i="1"/>
  <c r="H15" i="1"/>
  <c r="F17" i="1"/>
  <c r="F16" i="1"/>
  <c r="F15" i="1"/>
  <c r="E22" i="1" l="1"/>
  <c r="F22" i="1" s="1"/>
  <c r="I23" i="1"/>
  <c r="J23" i="1" s="1"/>
  <c r="I22" i="1"/>
  <c r="J22" i="1" s="1"/>
  <c r="G23" i="1"/>
  <c r="H23" i="1" s="1"/>
  <c r="G22" i="1"/>
  <c r="H22" i="1" s="1"/>
  <c r="I13" i="1"/>
  <c r="G13" i="1"/>
  <c r="E23" i="1"/>
  <c r="F23" i="1" s="1"/>
  <c r="F26" i="1" l="1"/>
  <c r="E28" i="1" s="1"/>
  <c r="E32" i="1" s="1"/>
  <c r="J26" i="1"/>
  <c r="I28" i="1" s="1"/>
  <c r="I32" i="1" s="1"/>
  <c r="H26" i="1"/>
  <c r="G28" i="1" s="1"/>
  <c r="G3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Autore</author>
  </authors>
  <commentList>
    <comment ref="A2" authorId="0" shapeId="0" xr:uid="{00000000-0006-0000-0000-000001000000}">
      <text>
        <r>
          <rPr>
            <sz val="8"/>
            <color indexed="81"/>
            <rFont val="Tahoma"/>
          </rPr>
          <t>Effettuata da me e non dall'ente erogatore.</t>
        </r>
      </text>
    </comment>
    <comment ref="A8" authorId="0" shapeId="0" xr:uid="{00000000-0006-0000-0000-000002000000}">
      <text>
        <r>
          <rPr>
            <sz val="8"/>
            <color indexed="81"/>
            <rFont val="Tahoma"/>
          </rPr>
          <t>Calcolare le varie quote su questo totale e non sul consumo indicato dal contatore generale.
(non coincide mai a causa del consumo condominiale e forse per la presenza di aria nei contatori)</t>
        </r>
      </text>
    </comment>
    <comment ref="A13" authorId="0" shapeId="0" xr:uid="{00000000-0006-0000-0000-000003000000}">
      <text>
        <r>
          <rPr>
            <sz val="8"/>
            <color indexed="81"/>
            <rFont val="Tahoma"/>
          </rPr>
          <t>Da ripartire in parti direttamente proporzionali al consumo annuo di ciascuno.</t>
        </r>
      </text>
    </comment>
    <comment ref="A15" authorId="0" shapeId="0" xr:uid="{00000000-0006-0000-0000-000004000000}">
      <text>
        <r>
          <rPr>
            <sz val="8"/>
            <color indexed="81"/>
            <rFont val="Tahoma"/>
          </rPr>
          <t>Da dividere in parti uguali; se il risultato supera il consumo del singolo condomino, il resto va diviso tra gli altri.</t>
        </r>
      </text>
    </comment>
    <comment ref="A16" authorId="0" shapeId="0" xr:uid="{00000000-0006-0000-0000-000005000000}">
      <text>
        <r>
          <rPr>
            <sz val="8"/>
            <color indexed="81"/>
            <rFont val="Tahoma"/>
          </rPr>
          <t>Da dividere in parti uguali; se il risultato supera il consumo del singolo condomino, il resto va diviso tra gli altri.</t>
        </r>
      </text>
    </comment>
    <comment ref="A17" authorId="0" shapeId="0" xr:uid="{00000000-0006-0000-0000-000006000000}">
      <text>
        <r>
          <rPr>
            <sz val="8"/>
            <color indexed="81"/>
            <rFont val="Tahoma"/>
          </rPr>
          <t>Da dividere in parti uguali; se il risultato supera il consumo del singolo condomino, il resto va diviso tra gli altri.</t>
        </r>
      </text>
    </comment>
    <comment ref="A18" authorId="0" shapeId="0" xr:uid="{00000000-0006-0000-0000-000007000000}">
      <text>
        <r>
          <rPr>
            <sz val="8"/>
            <color indexed="81"/>
            <rFont val="Tahoma"/>
          </rPr>
          <t>Da dividere in parti uguali tra tutti i condomini.</t>
        </r>
      </text>
    </comment>
    <comment ref="A22" authorId="0" shapeId="0" xr:uid="{00000000-0006-0000-0000-000008000000}">
      <text>
        <r>
          <rPr>
            <sz val="8"/>
            <color indexed="81"/>
            <rFont val="Tahoma"/>
          </rPr>
          <t>Da ripartire in parti direttamente proporzionali al consumo annuo di ciascuno.</t>
        </r>
      </text>
    </comment>
    <comment ref="A23" authorId="0" shapeId="0" xr:uid="{00000000-0006-0000-0000-000009000000}">
      <text>
        <r>
          <rPr>
            <sz val="8"/>
            <color indexed="81"/>
            <rFont val="Tahoma"/>
          </rPr>
          <t>Da ripartire in parti direttamente proporzionali al consumo annuo di ciascuno.</t>
        </r>
      </text>
    </comment>
    <comment ref="A24" authorId="0" shapeId="0" xr:uid="{00000000-0006-0000-0000-00000A000000}">
      <text>
        <r>
          <rPr>
            <sz val="8"/>
            <color indexed="81"/>
            <rFont val="Tahoma"/>
          </rPr>
          <t>Da dividere in parti uguali tra tutti i condomini.</t>
        </r>
      </text>
    </comment>
  </commentList>
</comments>
</file>

<file path=xl/sharedStrings.xml><?xml version="1.0" encoding="utf-8"?>
<sst xmlns="http://schemas.openxmlformats.org/spreadsheetml/2006/main" count="25" uniqueCount="22">
  <si>
    <t>DATA LETTURA:</t>
  </si>
  <si>
    <t>CONTATORI SINGOLI</t>
  </si>
  <si>
    <t>Dettaglio degli importi</t>
  </si>
  <si>
    <t>Servizio di acquedotto</t>
  </si>
  <si>
    <t>Quota fissa acqua</t>
  </si>
  <si>
    <t>Servizio di fognatura e depurazione</t>
  </si>
  <si>
    <t>Quota variabile fognatura</t>
  </si>
  <si>
    <t>Quota variabile depurazione</t>
  </si>
  <si>
    <t>Quota fissa fognatura</t>
  </si>
  <si>
    <t>TOTALE:</t>
  </si>
  <si>
    <t>TOTALE + IVA:</t>
  </si>
  <si>
    <t>Tariffa T3 (110,01-146)</t>
  </si>
  <si>
    <t>CONSUMO</t>
  </si>
  <si>
    <r>
      <t>CONTATORE GENERALE: (m</t>
    </r>
    <r>
      <rPr>
        <b/>
        <vertAlign val="superscript"/>
        <sz val="10"/>
        <color indexed="12"/>
        <rFont val="Arial"/>
      </rPr>
      <t>3</t>
    </r>
    <r>
      <rPr>
        <b/>
        <sz val="10"/>
        <color indexed="12"/>
        <rFont val="Arial"/>
      </rPr>
      <t>)</t>
    </r>
  </si>
  <si>
    <r>
      <t>TOTALE: (m</t>
    </r>
    <r>
      <rPr>
        <b/>
        <vertAlign val="superscript"/>
        <sz val="10"/>
        <color rgb="FFFF0000"/>
        <rFont val="Arial"/>
        <family val="2"/>
      </rPr>
      <t>3</t>
    </r>
    <r>
      <rPr>
        <b/>
        <sz val="10"/>
        <color rgb="FFFF0000"/>
        <rFont val="Arial"/>
        <family val="2"/>
      </rPr>
      <t>)</t>
    </r>
  </si>
  <si>
    <t>Consumo:</t>
  </si>
  <si>
    <t>Quota terremotati:</t>
  </si>
  <si>
    <t>Tariffa T1 (0-73) - Agevolata</t>
  </si>
  <si>
    <t>Tariffa T2 (73,01-110) - Base</t>
  </si>
  <si>
    <t>UTENTE 1</t>
  </si>
  <si>
    <t>UTENTE 2</t>
  </si>
  <si>
    <t>UTENTE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</si>
</sst>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0"/>
      <name val="Arial"/>
    </font>
    <font>
      <sz val="8"/>
      <color indexed="81"/>
      <name val="Tahoma"/>
    </font>
    <font>
      <sz val="8"/>
      <name val="Arial"/>
    </font>
    <font>
      <b/>
      <sz val="10"/>
      <color indexed="12"/>
      <name val="Arial"/>
    </font>
    <font>
      <sz val="10"/>
      <name val="Arial"/>
    </font>
    <font>
      <b/>
      <sz val="10"/>
      <name val="Arial"/>
    </font>
    <font>
      <b/>
      <sz val="10"/>
      <color indexed="10"/>
      <name val="Arial"/>
    </font>
    <font>
      <sz val="10"/>
      <name val="Arial"/>
    </font>
    <font>
      <b/>
      <vertAlign val="superscript"/>
      <sz val="10"/>
      <color indexed="12"/>
      <name val="Arial"/>
    </font>
    <font>
      <b/>
      <sz val="10"/>
      <color indexed="17"/>
      <name val="Arial"/>
    </font>
    <font>
      <sz val="10"/>
      <name val="Arial"/>
    </font>
    <font>
      <sz val="10"/>
      <name val="Arial"/>
    </font>
    <font>
      <sz val="10"/>
      <color indexed="12"/>
      <name val="Arial"/>
    </font>
    <font>
      <sz val="10"/>
      <color indexed="10"/>
      <name val="Arial"/>
    </font>
    <font>
      <b/>
      <sz val="12"/>
      <color indexed="12"/>
      <name val="Arial"/>
    </font>
    <font>
      <b/>
      <sz val="12"/>
      <color indexed="10"/>
      <name val="Arial"/>
    </font>
    <font>
      <b/>
      <sz val="10"/>
      <color rgb="FFFF0000"/>
      <name val="Arial"/>
      <family val="2"/>
    </font>
    <font>
      <b/>
      <vertAlign val="superscript"/>
      <sz val="10"/>
      <color rgb="FFFF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5" fillId="0" borderId="0" xfId="0" applyFont="1"/>
    <xf numFmtId="14" fontId="4" fillId="0" borderId="0" xfId="0" applyNumberFormat="1" applyFont="1"/>
    <xf numFmtId="14" fontId="5" fillId="0" borderId="0" xfId="0" applyNumberFormat="1" applyFont="1"/>
    <xf numFmtId="0" fontId="8" fillId="0" borderId="0" xfId="0" applyFont="1"/>
    <xf numFmtId="3" fontId="4" fillId="0" borderId="0" xfId="0" applyNumberFormat="1" applyFont="1"/>
    <xf numFmtId="0" fontId="6" fillId="0" borderId="0" xfId="0" applyFont="1" applyAlignment="1">
      <alignment horizontal="center"/>
    </xf>
    <xf numFmtId="3" fontId="6" fillId="0" borderId="0" xfId="0" applyNumberFormat="1" applyFont="1" applyAlignment="1">
      <alignment horizontal="center"/>
    </xf>
    <xf numFmtId="3" fontId="10" fillId="0" borderId="0" xfId="0" applyNumberFormat="1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/>
    <xf numFmtId="14" fontId="8" fillId="0" borderId="0" xfId="0" applyNumberFormat="1" applyFont="1"/>
    <xf numFmtId="2" fontId="6" fillId="0" borderId="0" xfId="0" applyNumberFormat="1" applyFont="1"/>
    <xf numFmtId="0" fontId="12" fillId="0" borderId="0" xfId="0" applyFont="1"/>
    <xf numFmtId="0" fontId="12" fillId="0" borderId="0" xfId="0" applyFont="1" applyAlignment="1">
      <alignment horizontal="center"/>
    </xf>
    <xf numFmtId="0" fontId="8" fillId="0" borderId="1" xfId="0" applyFont="1" applyBorder="1"/>
    <xf numFmtId="0" fontId="8" fillId="0" borderId="2" xfId="0" applyFont="1" applyBorder="1"/>
    <xf numFmtId="2" fontId="6" fillId="0" borderId="2" xfId="0" applyNumberFormat="1" applyFont="1" applyBorder="1"/>
    <xf numFmtId="0" fontId="15" fillId="0" borderId="0" xfId="0" applyFont="1"/>
    <xf numFmtId="0" fontId="7" fillId="0" borderId="0" xfId="0" applyFont="1" applyAlignment="1">
      <alignment horizontal="center"/>
    </xf>
    <xf numFmtId="3" fontId="16" fillId="0" borderId="0" xfId="0" applyNumberFormat="1" applyFont="1" applyAlignment="1">
      <alignment horizontal="left"/>
    </xf>
    <xf numFmtId="1" fontId="6" fillId="0" borderId="0" xfId="0" applyNumberFormat="1" applyFont="1" applyAlignment="1">
      <alignment horizontal="center"/>
    </xf>
    <xf numFmtId="0" fontId="6" fillId="2" borderId="3" xfId="0" applyFont="1" applyFill="1" applyBorder="1" applyAlignment="1" applyProtection="1">
      <alignment horizontal="center"/>
      <protection locked="0"/>
    </xf>
    <xf numFmtId="1" fontId="6" fillId="2" borderId="3" xfId="0" applyNumberFormat="1" applyFont="1" applyFill="1" applyBorder="1" applyAlignment="1" applyProtection="1">
      <alignment horizontal="center"/>
      <protection locked="0"/>
    </xf>
    <xf numFmtId="3" fontId="17" fillId="0" borderId="0" xfId="0" applyNumberFormat="1" applyFont="1" applyAlignment="1">
      <alignment horizontal="left"/>
    </xf>
    <xf numFmtId="1" fontId="17" fillId="0" borderId="0" xfId="0" applyNumberFormat="1" applyFont="1" applyAlignment="1">
      <alignment horizontal="center"/>
    </xf>
    <xf numFmtId="4" fontId="6" fillId="2" borderId="3" xfId="0" applyNumberFormat="1" applyFont="1" applyFill="1" applyBorder="1" applyAlignment="1" applyProtection="1">
      <alignment horizontal="center"/>
      <protection locked="0"/>
    </xf>
    <xf numFmtId="2" fontId="6" fillId="2" borderId="3" xfId="0" applyNumberFormat="1" applyFont="1" applyFill="1" applyBorder="1" applyProtection="1">
      <protection locked="0"/>
    </xf>
    <xf numFmtId="2" fontId="19" fillId="0" borderId="0" xfId="0" applyNumberFormat="1" applyFont="1"/>
    <xf numFmtId="2" fontId="6" fillId="0" borderId="1" xfId="0" applyNumberFormat="1" applyFont="1" applyBorder="1"/>
    <xf numFmtId="2" fontId="6" fillId="2" borderId="4" xfId="0" applyNumberFormat="1" applyFont="1" applyFill="1" applyBorder="1" applyProtection="1">
      <protection locked="0"/>
    </xf>
    <xf numFmtId="2" fontId="6" fillId="2" borderId="5" xfId="0" applyNumberFormat="1" applyFont="1" applyFill="1" applyBorder="1" applyProtection="1">
      <protection locked="0"/>
    </xf>
    <xf numFmtId="0" fontId="7" fillId="3" borderId="6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2" fontId="15" fillId="0" borderId="6" xfId="0" applyNumberFormat="1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0</xdr:row>
      <xdr:rowOff>142875</xdr:rowOff>
    </xdr:from>
    <xdr:to>
      <xdr:col>10</xdr:col>
      <xdr:colOff>266700</xdr:colOff>
      <xdr:row>9</xdr:row>
      <xdr:rowOff>47625</xdr:rowOff>
    </xdr:to>
    <xdr:sp macro="" textlink="">
      <xdr:nvSpPr>
        <xdr:cNvPr id="1048" name="AutoShape 24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>
          <a:spLocks noChangeArrowheads="1"/>
        </xdr:cNvSpPr>
      </xdr:nvSpPr>
      <xdr:spPr bwMode="auto">
        <a:xfrm>
          <a:off x="5448300" y="142875"/>
          <a:ext cx="3524250" cy="1457325"/>
        </a:xfrm>
        <a:prstGeom prst="flowChartDocument">
          <a:avLst/>
        </a:prstGeom>
        <a:solidFill>
          <a:srgbClr val="FF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it-IT" sz="1000" b="0" i="0" strike="noStrike">
              <a:solidFill>
                <a:srgbClr val="000000"/>
              </a:solidFill>
              <a:latin typeface="Arial"/>
              <a:cs typeface="Arial"/>
            </a:rPr>
            <a:t>Per il calcolo della nuova bolletta bisogna inserire i nuovi dati al posto dei vecchi, solo nelle celle con sfondo giallo.</a:t>
          </a:r>
        </a:p>
        <a:p>
          <a:pPr algn="l" rtl="1">
            <a:defRPr sz="1000"/>
          </a:pPr>
          <a:endParaRPr lang="it-IT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it-IT" sz="1000" b="0" i="0" strike="noStrike">
              <a:solidFill>
                <a:srgbClr val="000000"/>
              </a:solidFill>
              <a:latin typeface="Arial"/>
              <a:cs typeface="Arial"/>
            </a:rPr>
            <a:t>Il  foglio è protetto.</a:t>
          </a:r>
        </a:p>
        <a:p>
          <a:pPr algn="l" rtl="1">
            <a:defRPr sz="1000"/>
          </a:pPr>
          <a:endParaRPr lang="it-IT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it-IT" sz="1000" b="0" i="0" strike="noStrike">
              <a:solidFill>
                <a:srgbClr val="000000"/>
              </a:solidFill>
              <a:latin typeface="Arial"/>
              <a:cs typeface="Arial"/>
            </a:rPr>
            <a:t>Per modificare altri dati togliere prima la protezione nella</a:t>
          </a:r>
          <a:r>
            <a:rPr lang="it-IT" sz="1000" b="0" i="0" strike="noStrike" baseline="0">
              <a:solidFill>
                <a:srgbClr val="000000"/>
              </a:solidFill>
              <a:latin typeface="Arial"/>
              <a:cs typeface="Arial"/>
            </a:rPr>
            <a:t> scheda "Revisione".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workbookViewId="0"/>
  </sheetViews>
  <sheetFormatPr defaultRowHeight="12.75" x14ac:dyDescent="0.2"/>
  <cols>
    <col min="1" max="1" width="34.5703125" style="18" bestFit="1" customWidth="1"/>
    <col min="2" max="3" width="10.140625" style="18" bestFit="1" customWidth="1"/>
    <col min="4" max="4" width="12.28515625" style="19" bestFit="1" customWidth="1"/>
    <col min="5" max="10" width="10.5703125" style="18" customWidth="1"/>
    <col min="11" max="16384" width="9.140625" style="18"/>
  </cols>
  <sheetData>
    <row r="1" spans="1:10" s="4" customFormat="1" x14ac:dyDescent="0.2">
      <c r="A1" s="1"/>
      <c r="B1" s="1"/>
      <c r="C1" s="2"/>
      <c r="D1" s="3"/>
    </row>
    <row r="2" spans="1:10" s="7" customFormat="1" x14ac:dyDescent="0.2">
      <c r="A2" s="5" t="s">
        <v>0</v>
      </c>
      <c r="B2" s="6"/>
      <c r="C2" s="6"/>
      <c r="D2" s="3"/>
      <c r="E2" s="24" t="s">
        <v>12</v>
      </c>
    </row>
    <row r="3" spans="1:10" s="7" customFormat="1" ht="14.25" x14ac:dyDescent="0.2">
      <c r="A3" s="8" t="s">
        <v>13</v>
      </c>
      <c r="B3" s="4"/>
      <c r="C3" s="4"/>
      <c r="D3" s="3"/>
      <c r="E3" s="9">
        <f>C3-B3</f>
        <v>0</v>
      </c>
    </row>
    <row r="4" spans="1:10" s="7" customFormat="1" x14ac:dyDescent="0.2">
      <c r="A4" s="10" t="s">
        <v>1</v>
      </c>
      <c r="D4" s="3"/>
    </row>
    <row r="5" spans="1:10" s="7" customFormat="1" x14ac:dyDescent="0.2">
      <c r="A5" s="11" t="s">
        <v>19</v>
      </c>
      <c r="B5" s="12"/>
      <c r="C5" s="12"/>
      <c r="D5" s="3"/>
      <c r="E5" s="26">
        <f>C5-B5</f>
        <v>0</v>
      </c>
    </row>
    <row r="6" spans="1:10" s="7" customFormat="1" x14ac:dyDescent="0.2">
      <c r="A6" s="11" t="s">
        <v>20</v>
      </c>
      <c r="B6" s="12"/>
      <c r="C6" s="12"/>
      <c r="D6" s="3"/>
      <c r="E6" s="26">
        <f>C6-B6</f>
        <v>0</v>
      </c>
    </row>
    <row r="7" spans="1:10" s="7" customFormat="1" x14ac:dyDescent="0.2">
      <c r="A7" s="11" t="s">
        <v>21</v>
      </c>
      <c r="B7"/>
      <c r="C7"/>
      <c r="D7" s="3"/>
      <c r="E7" s="26">
        <f>C7-B7</f>
        <v>0</v>
      </c>
    </row>
    <row r="8" spans="1:10" s="12" customFormat="1" ht="14.25" x14ac:dyDescent="0.2">
      <c r="A8" s="29" t="s">
        <v>14</v>
      </c>
      <c r="D8" s="3"/>
      <c r="E8" s="30">
        <f>SUM(E5:E7)</f>
        <v>0</v>
      </c>
    </row>
    <row r="9" spans="1:10" s="12" customFormat="1" x14ac:dyDescent="0.2">
      <c r="A9" s="11"/>
      <c r="D9" s="13"/>
    </row>
    <row r="10" spans="1:10" s="12" customFormat="1" ht="13.5" thickBot="1" x14ac:dyDescent="0.25">
      <c r="D10" s="13"/>
      <c r="E10" s="1"/>
    </row>
    <row r="11" spans="1:10" s="7" customFormat="1" ht="16.5" thickBot="1" x14ac:dyDescent="0.3">
      <c r="A11" s="25" t="s">
        <v>2</v>
      </c>
      <c r="D11" s="14"/>
      <c r="E11" s="37" t="s">
        <v>19</v>
      </c>
      <c r="F11" s="38"/>
      <c r="G11" s="37" t="s">
        <v>20</v>
      </c>
      <c r="H11" s="39"/>
      <c r="I11" s="37" t="s">
        <v>21</v>
      </c>
      <c r="J11" s="40"/>
    </row>
    <row r="12" spans="1:10" s="7" customFormat="1" x14ac:dyDescent="0.2">
      <c r="A12" s="15" t="s">
        <v>3</v>
      </c>
      <c r="D12" s="12"/>
      <c r="E12" s="20"/>
      <c r="F12" s="21"/>
      <c r="G12" s="20"/>
      <c r="I12" s="20"/>
      <c r="J12" s="21"/>
    </row>
    <row r="13" spans="1:10" s="7" customFormat="1" x14ac:dyDescent="0.2">
      <c r="A13" t="s">
        <v>15</v>
      </c>
      <c r="C13" s="16"/>
      <c r="D13" s="27"/>
      <c r="E13" s="17" t="e">
        <f>D13*E5/E8</f>
        <v>#DIV/0!</v>
      </c>
      <c r="F13" s="21"/>
      <c r="G13" s="34" t="e">
        <f>D13*E6/E8</f>
        <v>#DIV/0!</v>
      </c>
      <c r="I13" s="34" t="e">
        <f>D13*E7/E8</f>
        <v>#DIV/0!</v>
      </c>
      <c r="J13" s="21"/>
    </row>
    <row r="14" spans="1:10" s="7" customFormat="1" x14ac:dyDescent="0.2">
      <c r="D14" s="14"/>
      <c r="E14" s="20"/>
      <c r="F14" s="21"/>
      <c r="G14" s="20"/>
      <c r="I14" s="20"/>
      <c r="J14" s="21"/>
    </row>
    <row r="15" spans="1:10" s="7" customFormat="1" x14ac:dyDescent="0.2">
      <c r="A15" t="s">
        <v>17</v>
      </c>
      <c r="B15" s="15">
        <v>0.763683</v>
      </c>
      <c r="D15" s="28"/>
      <c r="E15" s="35"/>
      <c r="F15" s="17">
        <f>E15*B15</f>
        <v>0</v>
      </c>
      <c r="G15" s="36"/>
      <c r="H15" s="17">
        <f>G15*B15</f>
        <v>0</v>
      </c>
      <c r="I15" s="36"/>
      <c r="J15" s="22">
        <f>I15*B15</f>
        <v>0</v>
      </c>
    </row>
    <row r="16" spans="1:10" s="7" customFormat="1" x14ac:dyDescent="0.2">
      <c r="A16" t="s">
        <v>18</v>
      </c>
      <c r="B16" s="15">
        <v>1.002138</v>
      </c>
      <c r="D16" s="28"/>
      <c r="E16" s="35"/>
      <c r="F16" s="17">
        <f>E16*B16</f>
        <v>0</v>
      </c>
      <c r="G16" s="36"/>
      <c r="H16" s="17">
        <f>G16*B16</f>
        <v>0</v>
      </c>
      <c r="I16" s="36"/>
      <c r="J16" s="22">
        <f>I16*B16</f>
        <v>0</v>
      </c>
    </row>
    <row r="17" spans="1:10" s="7" customFormat="1" x14ac:dyDescent="0.2">
      <c r="A17" s="7" t="s">
        <v>11</v>
      </c>
      <c r="B17" s="15">
        <v>1.6487309999999999</v>
      </c>
      <c r="D17" s="28"/>
      <c r="E17" s="35"/>
      <c r="F17" s="17">
        <f>E17*B17</f>
        <v>0</v>
      </c>
      <c r="G17" s="36"/>
      <c r="H17" s="17">
        <f>G17*B17</f>
        <v>0</v>
      </c>
      <c r="I17" s="36"/>
      <c r="J17" s="22">
        <f>I17*B17</f>
        <v>0</v>
      </c>
    </row>
    <row r="18" spans="1:10" s="7" customFormat="1" x14ac:dyDescent="0.2">
      <c r="A18" s="7" t="s">
        <v>4</v>
      </c>
      <c r="D18" s="31"/>
      <c r="F18" s="22">
        <f>D18/3</f>
        <v>0</v>
      </c>
      <c r="G18" s="20"/>
      <c r="H18" s="17">
        <f>D18/3</f>
        <v>0</v>
      </c>
      <c r="I18" s="20"/>
      <c r="J18" s="22">
        <f>D18/3</f>
        <v>0</v>
      </c>
    </row>
    <row r="19" spans="1:10" s="7" customFormat="1" x14ac:dyDescent="0.2">
      <c r="D19" s="14"/>
      <c r="E19" s="20"/>
      <c r="F19" s="21"/>
      <c r="G19" s="20"/>
      <c r="I19" s="20"/>
      <c r="J19" s="21"/>
    </row>
    <row r="20" spans="1:10" s="7" customFormat="1" x14ac:dyDescent="0.2">
      <c r="A20" s="15" t="s">
        <v>5</v>
      </c>
      <c r="D20" s="14"/>
      <c r="E20" s="20"/>
      <c r="F20" s="21"/>
      <c r="G20" s="20"/>
      <c r="I20" s="20"/>
      <c r="J20" s="21"/>
    </row>
    <row r="21" spans="1:10" s="7" customFormat="1" x14ac:dyDescent="0.2">
      <c r="D21" s="14"/>
      <c r="E21" s="20"/>
      <c r="F21" s="21"/>
      <c r="G21" s="20"/>
      <c r="I21" s="20"/>
      <c r="J21" s="21"/>
    </row>
    <row r="22" spans="1:10" s="7" customFormat="1" x14ac:dyDescent="0.2">
      <c r="A22" s="7" t="s">
        <v>6</v>
      </c>
      <c r="B22" s="15">
        <v>0.193693</v>
      </c>
      <c r="D22" s="27"/>
      <c r="E22" s="17" t="e">
        <f>D22*E5/E8</f>
        <v>#DIV/0!</v>
      </c>
      <c r="F22" s="22" t="e">
        <f>E22*B22</f>
        <v>#DIV/0!</v>
      </c>
      <c r="G22" s="34" t="e">
        <f>D22*E6/E8</f>
        <v>#DIV/0!</v>
      </c>
      <c r="H22" s="17" t="e">
        <f>G22*B22</f>
        <v>#DIV/0!</v>
      </c>
      <c r="I22" s="34" t="e">
        <f>D22*E7/E8</f>
        <v>#DIV/0!</v>
      </c>
      <c r="J22" s="22" t="e">
        <f>I22*B22</f>
        <v>#DIV/0!</v>
      </c>
    </row>
    <row r="23" spans="1:10" s="7" customFormat="1" x14ac:dyDescent="0.2">
      <c r="A23" s="7" t="s">
        <v>7</v>
      </c>
      <c r="B23" s="15">
        <v>0.55604799999999999</v>
      </c>
      <c r="D23" s="27"/>
      <c r="E23" s="17" t="e">
        <f>D23*E5/E8</f>
        <v>#DIV/0!</v>
      </c>
      <c r="F23" s="22" t="e">
        <f>E23*B23</f>
        <v>#DIV/0!</v>
      </c>
      <c r="G23" s="34" t="e">
        <f>D23*E6/E8</f>
        <v>#DIV/0!</v>
      </c>
      <c r="H23" s="17" t="e">
        <f>G23*B23</f>
        <v>#DIV/0!</v>
      </c>
      <c r="I23" s="34" t="e">
        <f>D23*E7/E8</f>
        <v>#DIV/0!</v>
      </c>
      <c r="J23" s="22" t="e">
        <f>I23*B23</f>
        <v>#DIV/0!</v>
      </c>
    </row>
    <row r="24" spans="1:10" s="7" customFormat="1" x14ac:dyDescent="0.2">
      <c r="A24" s="7" t="s">
        <v>8</v>
      </c>
      <c r="D24" s="31"/>
      <c r="F24" s="22">
        <f>D24/3</f>
        <v>0</v>
      </c>
      <c r="G24" s="20"/>
      <c r="H24" s="17">
        <f>D24/3</f>
        <v>0</v>
      </c>
      <c r="I24" s="20"/>
      <c r="J24" s="22">
        <f>D24/3</f>
        <v>0</v>
      </c>
    </row>
    <row r="25" spans="1:10" s="7" customFormat="1" x14ac:dyDescent="0.2">
      <c r="D25" s="14"/>
      <c r="E25" s="20"/>
      <c r="F25" s="21"/>
      <c r="G25" s="20"/>
      <c r="I25" s="20"/>
      <c r="J25" s="21"/>
    </row>
    <row r="26" spans="1:10" s="7" customFormat="1" x14ac:dyDescent="0.2">
      <c r="A26" s="15" t="s">
        <v>9</v>
      </c>
      <c r="D26" s="14"/>
      <c r="E26" s="20"/>
      <c r="F26" s="22" t="e">
        <f>SUM(F15:F24)</f>
        <v>#DIV/0!</v>
      </c>
      <c r="G26" s="20"/>
      <c r="H26" s="17" t="e">
        <f>SUM(H15:H24)</f>
        <v>#DIV/0!</v>
      </c>
      <c r="I26" s="20"/>
      <c r="J26" s="22" t="e">
        <f>SUM(J15:J24)</f>
        <v>#DIV/0!</v>
      </c>
    </row>
    <row r="27" spans="1:10" s="7" customFormat="1" ht="13.5" thickBot="1" x14ac:dyDescent="0.25">
      <c r="D27" s="14"/>
      <c r="E27" s="20"/>
      <c r="F27" s="21"/>
      <c r="G27" s="20"/>
      <c r="I27" s="20"/>
      <c r="J27" s="21"/>
    </row>
    <row r="28" spans="1:10" ht="16.5" thickBot="1" x14ac:dyDescent="0.3">
      <c r="A28" s="23" t="s">
        <v>10</v>
      </c>
      <c r="C28" s="1"/>
      <c r="E28" s="41" t="e">
        <f>F26+F26*0.1</f>
        <v>#DIV/0!</v>
      </c>
      <c r="F28" s="42"/>
      <c r="G28" s="41" t="e">
        <f>H26+H26*0.1</f>
        <v>#DIV/0!</v>
      </c>
      <c r="H28" s="42"/>
      <c r="I28" s="41" t="e">
        <f>J26+J26*0.1</f>
        <v>#DIV/0!</v>
      </c>
      <c r="J28" s="42"/>
    </row>
    <row r="29" spans="1:10" x14ac:dyDescent="0.2">
      <c r="H29" s="1"/>
    </row>
    <row r="30" spans="1:10" x14ac:dyDescent="0.2">
      <c r="A30" t="s">
        <v>16</v>
      </c>
      <c r="E30" s="32"/>
      <c r="G30" s="32"/>
      <c r="I30" s="32"/>
    </row>
    <row r="32" spans="1:10" x14ac:dyDescent="0.2">
      <c r="E32" s="33" t="e">
        <f>E28+E30</f>
        <v>#DIV/0!</v>
      </c>
      <c r="G32" s="33" t="e">
        <f>G28+G30</f>
        <v>#DIV/0!</v>
      </c>
      <c r="I32" s="33" t="e">
        <f>I28+I30</f>
        <v>#DIV/0!</v>
      </c>
    </row>
  </sheetData>
  <sheetProtection sheet="1" objects="1" scenarios="1"/>
  <mergeCells count="6">
    <mergeCell ref="E11:F11"/>
    <mergeCell ref="G11:H11"/>
    <mergeCell ref="I11:J11"/>
    <mergeCell ref="E28:F28"/>
    <mergeCell ref="G28:H28"/>
    <mergeCell ref="I28:J28"/>
  </mergeCells>
  <phoneticPr fontId="3" type="noConversion"/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Bolletta Acqua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2005-06-02T15:07:27Z</dcterms:created>
  <dcterms:modified xsi:type="dcterms:W3CDTF">2025-03-05T14:18:01Z</dcterms:modified>
</cp:coreProperties>
</file>