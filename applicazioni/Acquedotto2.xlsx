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"/>
    </mc:Choice>
  </mc:AlternateContent>
  <xr:revisionPtr revIDLastSave="0" documentId="13_ncr:1_{A9EB191D-5A62-4AD5-9AD9-2B6907D10B5D}" xr6:coauthVersionLast="47" xr6:coauthVersionMax="47" xr10:uidLastSave="{00000000-0000-0000-0000-000000000000}"/>
  <bookViews>
    <workbookView xWindow="-120" yWindow="-120" windowWidth="20730" windowHeight="11040" xr2:uid="{26F99ED2-FB6F-468B-996A-43A05E874696}"/>
  </bookViews>
  <sheets>
    <sheet name="AQ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E12" i="1"/>
  <c r="D12" i="1"/>
  <c r="F11" i="1"/>
  <c r="E11" i="1"/>
  <c r="D11" i="1"/>
  <c r="F10" i="1"/>
  <c r="E10" i="1"/>
  <c r="D10" i="1"/>
  <c r="F9" i="1"/>
  <c r="E9" i="1"/>
  <c r="D9" i="1"/>
  <c r="E5" i="1"/>
  <c r="F5" i="1"/>
  <c r="D5" i="1"/>
  <c r="F8" i="1"/>
  <c r="E8" i="1"/>
  <c r="D8" i="1"/>
  <c r="C14" i="1"/>
  <c r="H5" i="1"/>
  <c r="G5" i="1" l="1"/>
  <c r="C15" i="1"/>
  <c r="C17" i="1" s="1"/>
  <c r="E14" i="1" l="1"/>
  <c r="E15" i="1" s="1"/>
  <c r="E17" i="1" s="1"/>
  <c r="F14" i="1"/>
  <c r="F15" i="1" s="1"/>
  <c r="F17" i="1" s="1"/>
  <c r="D14" i="1"/>
  <c r="D15" i="1" l="1"/>
  <c r="D17" i="1" s="1"/>
</calcChain>
</file>

<file path=xl/sharedStrings.xml><?xml version="1.0" encoding="utf-8"?>
<sst xmlns="http://schemas.openxmlformats.org/spreadsheetml/2006/main" count="17" uniqueCount="17">
  <si>
    <t>Quota fissa</t>
  </si>
  <si>
    <t>Servizio acquedotto</t>
  </si>
  <si>
    <t>Servizio fognatura</t>
  </si>
  <si>
    <t>Servizio depurazione</t>
  </si>
  <si>
    <t>Oneri perequazione</t>
  </si>
  <si>
    <t>Totale imponibile</t>
  </si>
  <si>
    <t>Piano terra</t>
  </si>
  <si>
    <t>Primo piano</t>
  </si>
  <si>
    <t>Secondo piano</t>
  </si>
  <si>
    <t>Lettura precedente</t>
  </si>
  <si>
    <t>Lettura attuale</t>
  </si>
  <si>
    <t>Consumo</t>
  </si>
  <si>
    <t>Contatore centrale</t>
  </si>
  <si>
    <t>Totale</t>
  </si>
  <si>
    <t>Condominio</t>
  </si>
  <si>
    <t>Consumo con condominio</t>
  </si>
  <si>
    <t>Iva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</si>
</sst>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2" fontId="1" fillId="2" borderId="1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C6B2D-FE7D-452D-B53B-0A1FD5F404B6}">
  <dimension ref="B1:H17"/>
  <sheetViews>
    <sheetView tabSelected="1" workbookViewId="0"/>
  </sheetViews>
  <sheetFormatPr defaultRowHeight="15" x14ac:dyDescent="0.25"/>
  <cols>
    <col min="2" max="2" width="27.7109375" customWidth="1"/>
    <col min="3" max="3" width="11.5703125" customWidth="1"/>
    <col min="4" max="4" width="12.7109375" customWidth="1"/>
    <col min="5" max="5" width="13.7109375" customWidth="1"/>
    <col min="6" max="6" width="15.7109375" customWidth="1"/>
    <col min="7" max="7" width="12.7109375" customWidth="1"/>
    <col min="8" max="8" width="19.7109375" customWidth="1"/>
  </cols>
  <sheetData>
    <row r="1" spans="2:8" ht="15" customHeight="1" x14ac:dyDescent="0.25"/>
    <row r="2" spans="2:8" ht="18" customHeight="1" x14ac:dyDescent="0.25">
      <c r="B2" s="1"/>
      <c r="C2" s="1"/>
      <c r="D2" s="2" t="s">
        <v>6</v>
      </c>
      <c r="E2" s="3" t="s">
        <v>7</v>
      </c>
      <c r="F2" s="2" t="s">
        <v>8</v>
      </c>
      <c r="G2" s="2" t="s">
        <v>14</v>
      </c>
      <c r="H2" s="2" t="s">
        <v>12</v>
      </c>
    </row>
    <row r="3" spans="2:8" ht="18" customHeight="1" x14ac:dyDescent="0.25">
      <c r="B3" s="2" t="s">
        <v>9</v>
      </c>
      <c r="C3" s="2"/>
      <c r="D3" s="5">
        <v>3354</v>
      </c>
      <c r="E3" s="5">
        <v>0</v>
      </c>
      <c r="F3" s="5">
        <v>7676</v>
      </c>
      <c r="G3" s="2"/>
      <c r="H3" s="5">
        <v>4050</v>
      </c>
    </row>
    <row r="4" spans="2:8" ht="18" customHeight="1" x14ac:dyDescent="0.25">
      <c r="B4" s="2" t="s">
        <v>10</v>
      </c>
      <c r="C4" s="2"/>
      <c r="D4" s="5">
        <v>3354</v>
      </c>
      <c r="E4" s="5">
        <v>0</v>
      </c>
      <c r="F4" s="5">
        <v>7704</v>
      </c>
      <c r="G4" s="2"/>
      <c r="H4" s="5">
        <v>4086</v>
      </c>
    </row>
    <row r="5" spans="2:8" ht="18" customHeight="1" x14ac:dyDescent="0.25">
      <c r="B5" s="2" t="s">
        <v>11</v>
      </c>
      <c r="C5" s="2"/>
      <c r="D5" s="3">
        <f>D4-D3</f>
        <v>0</v>
      </c>
      <c r="E5" s="3">
        <f>E4-E3</f>
        <v>0</v>
      </c>
      <c r="F5" s="3">
        <f>F4-F3</f>
        <v>28</v>
      </c>
      <c r="G5" s="3">
        <f>H5-D5-E5-F5</f>
        <v>8</v>
      </c>
      <c r="H5" s="3">
        <f>H4-H3</f>
        <v>36</v>
      </c>
    </row>
    <row r="6" spans="2:8" ht="18" customHeight="1" x14ac:dyDescent="0.25">
      <c r="B6" s="2" t="s">
        <v>15</v>
      </c>
      <c r="C6" s="2"/>
      <c r="D6" s="5">
        <v>0</v>
      </c>
      <c r="E6" s="5">
        <v>4</v>
      </c>
      <c r="F6" s="5">
        <v>32</v>
      </c>
      <c r="G6" s="3"/>
      <c r="H6" s="3"/>
    </row>
    <row r="7" spans="2:8" ht="15" customHeight="1" x14ac:dyDescent="0.25"/>
    <row r="8" spans="2:8" ht="18" customHeight="1" x14ac:dyDescent="0.25">
      <c r="B8" s="2" t="s">
        <v>0</v>
      </c>
      <c r="C8" s="6">
        <v>33.270000000000003</v>
      </c>
      <c r="D8" s="4">
        <f>C8/3</f>
        <v>11.090000000000002</v>
      </c>
      <c r="E8" s="4">
        <f>C8/3</f>
        <v>11.090000000000002</v>
      </c>
      <c r="F8" s="4">
        <f>C8/3</f>
        <v>11.090000000000002</v>
      </c>
    </row>
    <row r="9" spans="2:8" ht="18" customHeight="1" x14ac:dyDescent="0.25">
      <c r="B9" s="2" t="s">
        <v>1</v>
      </c>
      <c r="C9" s="6">
        <v>40.549999999999997</v>
      </c>
      <c r="D9" s="4">
        <f>$C$9/$H$5*D6</f>
        <v>0</v>
      </c>
      <c r="E9" s="4">
        <f>$C$9/$H$5*E6</f>
        <v>4.5055555555555555</v>
      </c>
      <c r="F9" s="4">
        <f>$C$9/$H$5*F6</f>
        <v>36.044444444444444</v>
      </c>
    </row>
    <row r="10" spans="2:8" ht="18" customHeight="1" x14ac:dyDescent="0.25">
      <c r="B10" s="2" t="s">
        <v>2</v>
      </c>
      <c r="C10" s="6">
        <v>11.11</v>
      </c>
      <c r="D10" s="4">
        <f>$C$10/$H$5*D6</f>
        <v>0</v>
      </c>
      <c r="E10" s="4">
        <f>$C$10/$H$5*E6</f>
        <v>1.2344444444444445</v>
      </c>
      <c r="F10" s="4">
        <f>$C$10/$H$5*F6</f>
        <v>9.8755555555555556</v>
      </c>
    </row>
    <row r="11" spans="2:8" ht="18" customHeight="1" x14ac:dyDescent="0.25">
      <c r="B11" s="2" t="s">
        <v>3</v>
      </c>
      <c r="C11" s="6">
        <v>32.06</v>
      </c>
      <c r="D11" s="4">
        <f>$C$11/$H$5*D6</f>
        <v>0</v>
      </c>
      <c r="E11" s="4">
        <f>$C$11/$H$5*E6</f>
        <v>3.5622222222222226</v>
      </c>
      <c r="F11" s="4">
        <f>$C$11/$H$5*F6</f>
        <v>28.497777777777781</v>
      </c>
    </row>
    <row r="12" spans="2:8" ht="18" customHeight="1" x14ac:dyDescent="0.25">
      <c r="B12" s="2" t="s">
        <v>4</v>
      </c>
      <c r="C12" s="6">
        <v>5.25</v>
      </c>
      <c r="D12" s="4">
        <f>$C$12/$H$5*D6</f>
        <v>0</v>
      </c>
      <c r="E12" s="4">
        <f>$C$12/$H$5*E6</f>
        <v>0.58333333333333337</v>
      </c>
      <c r="F12" s="4">
        <f>$C$12/$H$5*F6</f>
        <v>4.666666666666667</v>
      </c>
    </row>
    <row r="13" spans="2:8" ht="15" customHeight="1" x14ac:dyDescent="0.25">
      <c r="B13" s="2"/>
      <c r="C13" s="4"/>
      <c r="D13" s="4"/>
      <c r="E13" s="4"/>
      <c r="F13" s="4"/>
    </row>
    <row r="14" spans="2:8" ht="18" customHeight="1" x14ac:dyDescent="0.25">
      <c r="B14" s="2" t="s">
        <v>5</v>
      </c>
      <c r="C14" s="4">
        <f>SUM(C8:C12)</f>
        <v>122.24</v>
      </c>
      <c r="D14" s="4">
        <f>SUM(D8:D12)</f>
        <v>11.090000000000002</v>
      </c>
      <c r="E14" s="4">
        <f>SUM(E8:E12)</f>
        <v>20.975555555555555</v>
      </c>
      <c r="F14" s="4">
        <f>SUM(F8:F12)</f>
        <v>90.174444444444461</v>
      </c>
    </row>
    <row r="15" spans="2:8" ht="18" customHeight="1" x14ac:dyDescent="0.25">
      <c r="B15" s="2" t="s">
        <v>16</v>
      </c>
      <c r="C15" s="4">
        <f>C14*10/100</f>
        <v>12.223999999999998</v>
      </c>
      <c r="D15" s="4">
        <f>D14*10/100</f>
        <v>1.1090000000000002</v>
      </c>
      <c r="E15" s="4">
        <f>E14*10/100</f>
        <v>2.0975555555555556</v>
      </c>
      <c r="F15" s="4">
        <f>F14*10/100</f>
        <v>9.0174444444444468</v>
      </c>
    </row>
    <row r="16" spans="2:8" ht="15" customHeight="1" x14ac:dyDescent="0.25">
      <c r="B16" s="1"/>
      <c r="C16" s="1"/>
      <c r="D16" s="1"/>
      <c r="E16" s="1"/>
      <c r="F16" s="1"/>
    </row>
    <row r="17" spans="2:6" ht="18" customHeight="1" x14ac:dyDescent="0.25">
      <c r="B17" s="2" t="s">
        <v>13</v>
      </c>
      <c r="C17" s="4">
        <f>SUM(C14:C15)</f>
        <v>134.464</v>
      </c>
      <c r="D17" s="4">
        <f>SUM(D14:D15)</f>
        <v>12.199000000000002</v>
      </c>
      <c r="E17" s="4">
        <f>SUM(E14:E15)</f>
        <v>23.07311111111111</v>
      </c>
      <c r="F17" s="4">
        <f>SUM(F14:F15)</f>
        <v>99.191888888888911</v>
      </c>
    </row>
  </sheetData>
  <sheetProtection sheet="1" objects="1" scenarios="1"/>
  <pageMargins left="0.7" right="0.7" top="0.75" bottom="0.75" header="0.3" footer="0.3"/>
  <ignoredErrors>
    <ignoredError sqref="G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2024-06-25T03:07:26Z</dcterms:created>
  <dcterms:modified xsi:type="dcterms:W3CDTF">2024-07-15T05:40:55Z</dcterms:modified>
</cp:coreProperties>
</file>